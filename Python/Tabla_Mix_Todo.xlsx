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7ea210941615a0e/Documentos/Escritorio/TFG/Python/"/>
    </mc:Choice>
  </mc:AlternateContent>
  <xr:revisionPtr revIDLastSave="65" documentId="8_{5246D3BA-BF79-45B6-994D-A51F5BC5AE0B}" xr6:coauthVersionLast="47" xr6:coauthVersionMax="47" xr10:uidLastSave="{D37B3E4F-4AD5-4E66-BE90-B22CBA089A02}"/>
  <bookViews>
    <workbookView xWindow="28680" yWindow="1275" windowWidth="29040" windowHeight="15720" activeTab="3" xr2:uid="{00000000-000D-0000-FFFF-FFFF00000000}"/>
  </bookViews>
  <sheets>
    <sheet name="Nodos" sheetId="1" r:id="rId1"/>
    <sheet name="Demanda" sheetId="2" r:id="rId2"/>
    <sheet name="Suministro" sheetId="3" r:id="rId3"/>
    <sheet name="DisponibilidadVeh" sheetId="4" r:id="rId4"/>
    <sheet name="Vehiculos" sheetId="5" r:id="rId5"/>
    <sheet name="Arcos" sheetId="6" r:id="rId6"/>
    <sheet name="Global" sheetId="7" r:id="rId7"/>
    <sheet name="Checklist" sheetId="8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I6" i="4"/>
  <c r="G6" i="4"/>
  <c r="H6" i="4"/>
  <c r="F6" i="4"/>
  <c r="H5" i="4"/>
  <c r="H4" i="4"/>
  <c r="H3" i="4"/>
  <c r="H2" i="4"/>
  <c r="G5" i="4"/>
  <c r="G4" i="4"/>
  <c r="G3" i="4"/>
  <c r="G2" i="4"/>
  <c r="F5" i="4"/>
  <c r="F4" i="4"/>
  <c r="F3" i="4"/>
  <c r="F2" i="4"/>
  <c r="E4" i="2"/>
</calcChain>
</file>

<file path=xl/sharedStrings.xml><?xml version="1.0" encoding="utf-8"?>
<sst xmlns="http://schemas.openxmlformats.org/spreadsheetml/2006/main" count="266" uniqueCount="92">
  <si>
    <t>Codigo</t>
  </si>
  <si>
    <t>Nombre</t>
  </si>
  <si>
    <t>Tipo</t>
  </si>
  <si>
    <t>Prioridad</t>
  </si>
  <si>
    <t>D1</t>
  </si>
  <si>
    <t>Haneda Airport</t>
  </si>
  <si>
    <t>D2</t>
  </si>
  <si>
    <t>Narita Airport</t>
  </si>
  <si>
    <t>D3</t>
  </si>
  <si>
    <t>Yokohama Port</t>
  </si>
  <si>
    <t>D4</t>
  </si>
  <si>
    <t>Tsuchiura DC</t>
  </si>
  <si>
    <t>N1</t>
  </si>
  <si>
    <t>Fujisawa</t>
  </si>
  <si>
    <t>Demanda</t>
  </si>
  <si>
    <t>N2</t>
  </si>
  <si>
    <t>Funabashi</t>
  </si>
  <si>
    <t>N3</t>
  </si>
  <si>
    <t>Kasukabe</t>
  </si>
  <si>
    <t>N4</t>
  </si>
  <si>
    <t>Kawagoe</t>
  </si>
  <si>
    <t>N5</t>
  </si>
  <si>
    <t>Kawasaki</t>
  </si>
  <si>
    <t>N6</t>
  </si>
  <si>
    <t>Hachioji</t>
  </si>
  <si>
    <t>N7</t>
  </si>
  <si>
    <t>Kofu</t>
  </si>
  <si>
    <t>N8</t>
  </si>
  <si>
    <t>Saitama</t>
  </si>
  <si>
    <t>N9</t>
  </si>
  <si>
    <t>Chiba</t>
  </si>
  <si>
    <t>N10</t>
  </si>
  <si>
    <t>Tokyo</t>
  </si>
  <si>
    <t>Food_t</t>
  </si>
  <si>
    <t>Disp_Small</t>
  </si>
  <si>
    <t>Disp_Medium</t>
  </si>
  <si>
    <t>Disp_Large</t>
  </si>
  <si>
    <t>Capacidad_t</t>
  </si>
  <si>
    <t>Velocidad_kmh</t>
  </si>
  <si>
    <t>Coste_Fijo_USD_km</t>
  </si>
  <si>
    <t>Coste_Var_Food_USD_km_t</t>
  </si>
  <si>
    <t>Coste_Var_Med_USD_km_t</t>
  </si>
  <si>
    <t>small</t>
  </si>
  <si>
    <t>medium</t>
  </si>
  <si>
    <t>large</t>
  </si>
  <si>
    <t>Desde</t>
  </si>
  <si>
    <t>Hasta</t>
  </si>
  <si>
    <t>Dist_km</t>
  </si>
  <si>
    <t>VelMax_kmh</t>
  </si>
  <si>
    <t>Fiabilidad</t>
  </si>
  <si>
    <t>Presupuesto_USD</t>
  </si>
  <si>
    <t>tm_periodo</t>
  </si>
  <si>
    <t>T_max_periodos</t>
  </si>
  <si>
    <t>Chequeo</t>
  </si>
  <si>
    <t>Detalle</t>
  </si>
  <si>
    <t>Resultado</t>
  </si>
  <si>
    <t>Valor</t>
  </si>
  <si>
    <t>Suma suministros/alimentos</t>
  </si>
  <si>
    <t>Σ supply food (t)</t>
  </si>
  <si>
    <t>OK</t>
  </si>
  <si>
    <t>Suma suministros/medicina</t>
  </si>
  <si>
    <t>Σ supply medicine (t)</t>
  </si>
  <si>
    <t>Suma demandas/alimentos</t>
  </si>
  <si>
    <t>Σ demanda food (t)</t>
  </si>
  <si>
    <t>Suma demandas/medicina</t>
  </si>
  <si>
    <t>Σ demanda medicine (t)</t>
  </si>
  <si>
    <t>Nodos esperados</t>
  </si>
  <si>
    <t>D1..D4 y N1..N10 presentes</t>
  </si>
  <si>
    <t>Arcos/nodos válidos</t>
  </si>
  <si>
    <t>Todos los arcos usan nodos definidos</t>
  </si>
  <si>
    <t>Distancias positivas</t>
  </si>
  <si>
    <t>Dist_km &gt; 0 en todos los arcos</t>
  </si>
  <si>
    <t>Velocidades positivas</t>
  </si>
  <si>
    <t>VelMax_kmh &gt; 0 en todos los arcos</t>
  </si>
  <si>
    <t>Fiabilidad [0,1]</t>
  </si>
  <si>
    <t>Fiabilidad dentro del rango</t>
  </si>
  <si>
    <t>Conectividad</t>
  </si>
  <si>
    <t>Cada N* alcanzable desde algún D*</t>
  </si>
  <si>
    <t>Tabla vehículos</t>
  </si>
  <si>
    <t>Capacidades/velocidades/costes (Tabla 6)</t>
  </si>
  <si>
    <t>Tipos=3</t>
  </si>
  <si>
    <t>Disponibilidad total</t>
  </si>
  <si>
    <t>Suma de small/medium/large en nodos</t>
  </si>
  <si>
    <t>small=119, medium=81, large=44</t>
  </si>
  <si>
    <t>Presupuesto</t>
  </si>
  <si>
    <t>b (USD) encontrado en el texto</t>
  </si>
  <si>
    <t>FALTA</t>
  </si>
  <si>
    <t>tm (periodo)</t>
  </si>
  <si>
    <t>tm=12 (1 periodo = 5 min)</t>
  </si>
  <si>
    <t>Horizonte T</t>
  </si>
  <si>
    <t>T máximo en periodos (si está)</t>
  </si>
  <si>
    <t>Suministra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</si>
</sst>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C19" sqref="C19"/>
    </sheetView>
  </sheetViews>
  <sheetFormatPr baseColWidth="10" defaultColWidth="8.88671875" defaultRowHeight="14.4" x14ac:dyDescent="0.3"/>
  <cols>
    <col min="2" max="2" width="19.109375" customWidth="1"/>
    <col min="3" max="3" width="15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91</v>
      </c>
      <c r="D2">
        <v>0</v>
      </c>
    </row>
    <row r="3" spans="1:4" x14ac:dyDescent="0.3">
      <c r="A3" t="s">
        <v>6</v>
      </c>
      <c r="B3" t="s">
        <v>7</v>
      </c>
      <c r="C3" t="s">
        <v>91</v>
      </c>
      <c r="D3">
        <v>0</v>
      </c>
    </row>
    <row r="4" spans="1:4" x14ac:dyDescent="0.3">
      <c r="A4" t="s">
        <v>8</v>
      </c>
      <c r="B4" t="s">
        <v>9</v>
      </c>
      <c r="C4" t="s">
        <v>91</v>
      </c>
      <c r="D4">
        <v>0</v>
      </c>
    </row>
    <row r="5" spans="1:4" x14ac:dyDescent="0.3">
      <c r="A5" t="s">
        <v>10</v>
      </c>
      <c r="B5" t="s">
        <v>11</v>
      </c>
      <c r="C5" t="s">
        <v>91</v>
      </c>
      <c r="D5">
        <v>0</v>
      </c>
    </row>
    <row r="6" spans="1:4" x14ac:dyDescent="0.3">
      <c r="A6" t="s">
        <v>12</v>
      </c>
      <c r="B6" t="s">
        <v>13</v>
      </c>
      <c r="C6" t="s">
        <v>14</v>
      </c>
      <c r="D6">
        <v>0</v>
      </c>
    </row>
    <row r="7" spans="1:4" x14ac:dyDescent="0.3">
      <c r="A7" t="s">
        <v>15</v>
      </c>
      <c r="B7" t="s">
        <v>16</v>
      </c>
      <c r="C7" t="s">
        <v>14</v>
      </c>
      <c r="D7">
        <v>0</v>
      </c>
    </row>
    <row r="8" spans="1:4" x14ac:dyDescent="0.3">
      <c r="A8" t="s">
        <v>17</v>
      </c>
      <c r="B8" t="s">
        <v>18</v>
      </c>
      <c r="C8" t="s">
        <v>14</v>
      </c>
      <c r="D8">
        <v>0</v>
      </c>
    </row>
    <row r="9" spans="1:4" x14ac:dyDescent="0.3">
      <c r="A9" t="s">
        <v>19</v>
      </c>
      <c r="B9" t="s">
        <v>20</v>
      </c>
      <c r="C9" t="s">
        <v>14</v>
      </c>
      <c r="D9">
        <v>0</v>
      </c>
    </row>
    <row r="10" spans="1:4" x14ac:dyDescent="0.3">
      <c r="A10" t="s">
        <v>21</v>
      </c>
      <c r="B10" t="s">
        <v>22</v>
      </c>
      <c r="C10" t="s">
        <v>14</v>
      </c>
      <c r="D10">
        <v>0</v>
      </c>
    </row>
    <row r="11" spans="1:4" x14ac:dyDescent="0.3">
      <c r="A11" t="s">
        <v>23</v>
      </c>
      <c r="B11" t="s">
        <v>24</v>
      </c>
      <c r="C11" t="s">
        <v>14</v>
      </c>
      <c r="D11">
        <v>0</v>
      </c>
    </row>
    <row r="12" spans="1:4" x14ac:dyDescent="0.3">
      <c r="A12" t="s">
        <v>25</v>
      </c>
      <c r="B12" t="s">
        <v>26</v>
      </c>
      <c r="C12" t="s">
        <v>14</v>
      </c>
      <c r="D12">
        <v>1</v>
      </c>
    </row>
    <row r="13" spans="1:4" x14ac:dyDescent="0.3">
      <c r="A13" t="s">
        <v>27</v>
      </c>
      <c r="B13" t="s">
        <v>28</v>
      </c>
      <c r="C13" t="s">
        <v>14</v>
      </c>
      <c r="D13">
        <v>0</v>
      </c>
    </row>
    <row r="14" spans="1:4" x14ac:dyDescent="0.3">
      <c r="A14" t="s">
        <v>29</v>
      </c>
      <c r="B14" t="s">
        <v>30</v>
      </c>
      <c r="C14" t="s">
        <v>14</v>
      </c>
      <c r="D14">
        <v>0</v>
      </c>
    </row>
    <row r="15" spans="1:4" x14ac:dyDescent="0.3">
      <c r="A15" t="s">
        <v>31</v>
      </c>
      <c r="B15" t="s">
        <v>32</v>
      </c>
      <c r="C15" t="s">
        <v>14</v>
      </c>
      <c r="D15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G7" sqref="G7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33</v>
      </c>
      <c r="C1" s="1"/>
    </row>
    <row r="2" spans="1:5" x14ac:dyDescent="0.3">
      <c r="A2" t="s">
        <v>12</v>
      </c>
      <c r="B2">
        <v>75</v>
      </c>
    </row>
    <row r="3" spans="1:5" x14ac:dyDescent="0.3">
      <c r="A3" t="s">
        <v>15</v>
      </c>
      <c r="B3">
        <v>105</v>
      </c>
    </row>
    <row r="4" spans="1:5" x14ac:dyDescent="0.3">
      <c r="A4" t="s">
        <v>17</v>
      </c>
      <c r="B4">
        <v>40</v>
      </c>
      <c r="E4">
        <f>SUM(B2:B11)</f>
        <v>2585</v>
      </c>
    </row>
    <row r="5" spans="1:5" x14ac:dyDescent="0.3">
      <c r="A5" t="s">
        <v>19</v>
      </c>
      <c r="B5">
        <v>60</v>
      </c>
    </row>
    <row r="6" spans="1:5" x14ac:dyDescent="0.3">
      <c r="A6" t="s">
        <v>21</v>
      </c>
      <c r="B6">
        <v>255</v>
      </c>
    </row>
    <row r="7" spans="1:5" x14ac:dyDescent="0.3">
      <c r="A7" t="s">
        <v>23</v>
      </c>
      <c r="B7">
        <v>95</v>
      </c>
    </row>
    <row r="8" spans="1:5" x14ac:dyDescent="0.3">
      <c r="A8" t="s">
        <v>25</v>
      </c>
      <c r="B8">
        <v>35</v>
      </c>
    </row>
    <row r="9" spans="1:5" x14ac:dyDescent="0.3">
      <c r="A9" t="s">
        <v>27</v>
      </c>
      <c r="B9">
        <v>225</v>
      </c>
    </row>
    <row r="10" spans="1:5" x14ac:dyDescent="0.3">
      <c r="A10" t="s">
        <v>29</v>
      </c>
      <c r="B10">
        <v>165</v>
      </c>
    </row>
    <row r="11" spans="1:5" x14ac:dyDescent="0.3">
      <c r="A11" t="s">
        <v>31</v>
      </c>
      <c r="B11">
        <v>1530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D8" sqref="D8"/>
    </sheetView>
  </sheetViews>
  <sheetFormatPr baseColWidth="10" defaultColWidth="8.88671875" defaultRowHeight="14.4" x14ac:dyDescent="0.3"/>
  <cols>
    <col min="3" max="3" width="15.88671875" customWidth="1"/>
  </cols>
  <sheetData>
    <row r="1" spans="1:3" x14ac:dyDescent="0.3">
      <c r="A1" s="1" t="s">
        <v>0</v>
      </c>
      <c r="B1" s="1" t="s">
        <v>33</v>
      </c>
      <c r="C1" s="1"/>
    </row>
    <row r="2" spans="1:3" x14ac:dyDescent="0.3">
      <c r="A2" t="s">
        <v>4</v>
      </c>
      <c r="B2">
        <v>1100</v>
      </c>
    </row>
    <row r="3" spans="1:3" x14ac:dyDescent="0.3">
      <c r="A3" t="s">
        <v>6</v>
      </c>
      <c r="B3">
        <v>440</v>
      </c>
    </row>
    <row r="4" spans="1:3" x14ac:dyDescent="0.3">
      <c r="A4" t="s">
        <v>8</v>
      </c>
      <c r="B4">
        <v>230</v>
      </c>
    </row>
    <row r="5" spans="1:3" x14ac:dyDescent="0.3">
      <c r="A5" t="s">
        <v>10</v>
      </c>
      <c r="B5">
        <v>1270</v>
      </c>
    </row>
    <row r="8" spans="1:3" x14ac:dyDescent="0.3">
      <c r="B8">
        <f>SUM(B2:B5)</f>
        <v>3040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tabSelected="1" workbookViewId="0">
      <selection activeCell="D2" sqref="D2:D5"/>
    </sheetView>
  </sheetViews>
  <sheetFormatPr baseColWidth="10" defaultColWidth="8.88671875" defaultRowHeight="14.4" x14ac:dyDescent="0.3"/>
  <cols>
    <col min="2" max="2" width="16.88671875" customWidth="1"/>
    <col min="3" max="3" width="13.5546875" customWidth="1"/>
    <col min="4" max="4" width="14.6640625" customWidth="1"/>
  </cols>
  <sheetData>
    <row r="1" spans="1:9" x14ac:dyDescent="0.3">
      <c r="A1" s="1" t="s">
        <v>0</v>
      </c>
      <c r="B1" s="1" t="s">
        <v>34</v>
      </c>
      <c r="C1" s="1" t="s">
        <v>35</v>
      </c>
      <c r="D1" s="1" t="s">
        <v>36</v>
      </c>
    </row>
    <row r="2" spans="1:9" x14ac:dyDescent="0.3">
      <c r="A2" t="s">
        <v>4</v>
      </c>
      <c r="B2">
        <v>50</v>
      </c>
      <c r="C2">
        <v>30</v>
      </c>
      <c r="D2">
        <v>20</v>
      </c>
      <c r="F2">
        <f>B2*Vehiculos!B2</f>
        <v>250</v>
      </c>
      <c r="G2">
        <f>C2*Vehiculos!B3</f>
        <v>450</v>
      </c>
      <c r="H2">
        <f>D2*Vehiculos!B4</f>
        <v>500</v>
      </c>
    </row>
    <row r="3" spans="1:9" x14ac:dyDescent="0.3">
      <c r="A3" t="s">
        <v>6</v>
      </c>
      <c r="B3">
        <v>12</v>
      </c>
      <c r="C3">
        <v>8</v>
      </c>
      <c r="D3">
        <v>2</v>
      </c>
      <c r="F3">
        <f>B3*Vehiculos!B2</f>
        <v>60</v>
      </c>
      <c r="G3">
        <f>C3*Vehiculos!B3</f>
        <v>120</v>
      </c>
      <c r="H3">
        <f>D3*Vehiculos!B4</f>
        <v>50</v>
      </c>
    </row>
    <row r="4" spans="1:9" x14ac:dyDescent="0.3">
      <c r="A4" t="s">
        <v>8</v>
      </c>
      <c r="B4">
        <v>7</v>
      </c>
      <c r="C4">
        <v>13</v>
      </c>
      <c r="D4">
        <v>2</v>
      </c>
      <c r="F4">
        <f>B4*Vehiculos!B2</f>
        <v>35</v>
      </c>
      <c r="G4">
        <f>C4*Vehiculos!B3</f>
        <v>195</v>
      </c>
      <c r="H4">
        <f>D4*Vehiculos!B4</f>
        <v>50</v>
      </c>
    </row>
    <row r="5" spans="1:9" x14ac:dyDescent="0.3">
      <c r="A5" t="s">
        <v>10</v>
      </c>
      <c r="B5">
        <v>50</v>
      </c>
      <c r="C5">
        <v>30</v>
      </c>
      <c r="D5">
        <v>20</v>
      </c>
      <c r="F5">
        <f>B5*Vehiculos!B2</f>
        <v>250</v>
      </c>
      <c r="G5">
        <f>C5*Vehiculos!B3</f>
        <v>450</v>
      </c>
      <c r="H5">
        <f>D5*Vehiculos!B4</f>
        <v>500</v>
      </c>
    </row>
    <row r="6" spans="1:9" x14ac:dyDescent="0.3">
      <c r="A6" t="s">
        <v>12</v>
      </c>
      <c r="B6">
        <v>0</v>
      </c>
      <c r="C6">
        <v>0</v>
      </c>
      <c r="D6">
        <v>0</v>
      </c>
      <c r="F6">
        <f>SUM(F2:F5)</f>
        <v>595</v>
      </c>
      <c r="G6">
        <f t="shared" ref="G6:H6" si="0">SUM(G2:G5)</f>
        <v>1215</v>
      </c>
      <c r="H6">
        <f t="shared" si="0"/>
        <v>1100</v>
      </c>
      <c r="I6">
        <f>SUM(F6:H6)</f>
        <v>2910</v>
      </c>
    </row>
    <row r="7" spans="1:9" x14ac:dyDescent="0.3">
      <c r="A7" t="s">
        <v>15</v>
      </c>
      <c r="B7">
        <v>0</v>
      </c>
      <c r="C7">
        <v>0</v>
      </c>
      <c r="D7">
        <v>0</v>
      </c>
    </row>
    <row r="8" spans="1:9" x14ac:dyDescent="0.3">
      <c r="A8" t="s">
        <v>17</v>
      </c>
      <c r="B8">
        <v>0</v>
      </c>
      <c r="C8">
        <v>0</v>
      </c>
      <c r="D8">
        <v>0</v>
      </c>
    </row>
    <row r="9" spans="1:9" x14ac:dyDescent="0.3">
      <c r="A9" t="s">
        <v>19</v>
      </c>
      <c r="B9">
        <v>0</v>
      </c>
      <c r="C9">
        <v>0</v>
      </c>
      <c r="D9">
        <v>0</v>
      </c>
    </row>
    <row r="10" spans="1:9" x14ac:dyDescent="0.3">
      <c r="A10" t="s">
        <v>21</v>
      </c>
      <c r="B10">
        <v>0</v>
      </c>
      <c r="C10">
        <v>0</v>
      </c>
      <c r="D10">
        <v>0</v>
      </c>
    </row>
    <row r="11" spans="1:9" x14ac:dyDescent="0.3">
      <c r="A11" t="s">
        <v>23</v>
      </c>
      <c r="B11">
        <v>0</v>
      </c>
      <c r="C11">
        <v>0</v>
      </c>
      <c r="D11">
        <v>0</v>
      </c>
    </row>
    <row r="12" spans="1:9" x14ac:dyDescent="0.3">
      <c r="A12" t="s">
        <v>25</v>
      </c>
      <c r="B12">
        <v>0</v>
      </c>
      <c r="C12">
        <v>0</v>
      </c>
      <c r="D12">
        <v>0</v>
      </c>
    </row>
    <row r="13" spans="1:9" x14ac:dyDescent="0.3">
      <c r="A13" t="s">
        <v>27</v>
      </c>
      <c r="B13">
        <v>0</v>
      </c>
      <c r="C13">
        <v>0</v>
      </c>
      <c r="D13">
        <v>0</v>
      </c>
    </row>
    <row r="14" spans="1:9" x14ac:dyDescent="0.3">
      <c r="A14" t="s">
        <v>29</v>
      </c>
      <c r="B14">
        <v>0</v>
      </c>
      <c r="C14">
        <v>0</v>
      </c>
      <c r="D14">
        <v>0</v>
      </c>
    </row>
    <row r="15" spans="1:9" x14ac:dyDescent="0.3">
      <c r="A15" t="s">
        <v>31</v>
      </c>
      <c r="B15">
        <v>0</v>
      </c>
      <c r="C15">
        <v>0</v>
      </c>
      <c r="D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E13" sqref="E13"/>
    </sheetView>
  </sheetViews>
  <sheetFormatPr baseColWidth="10" defaultColWidth="8.88671875" defaultRowHeight="14.4" x14ac:dyDescent="0.3"/>
  <cols>
    <col min="1" max="1" width="17.5546875" customWidth="1"/>
    <col min="2" max="2" width="15" customWidth="1"/>
    <col min="3" max="3" width="16.21875" customWidth="1"/>
    <col min="4" max="4" width="19.33203125" customWidth="1"/>
    <col min="5" max="5" width="28.21875" customWidth="1"/>
    <col min="6" max="6" width="23.6640625" customWidth="1"/>
  </cols>
  <sheetData>
    <row r="1" spans="1:6" x14ac:dyDescent="0.3">
      <c r="A1" s="1" t="s">
        <v>2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t="s">
        <v>42</v>
      </c>
      <c r="B2">
        <v>5</v>
      </c>
      <c r="C2">
        <v>100</v>
      </c>
      <c r="D2">
        <v>20</v>
      </c>
      <c r="E2">
        <v>1</v>
      </c>
      <c r="F2">
        <v>1</v>
      </c>
    </row>
    <row r="3" spans="1:6" x14ac:dyDescent="0.3">
      <c r="A3" t="s">
        <v>43</v>
      </c>
      <c r="B3">
        <v>15</v>
      </c>
      <c r="C3">
        <v>90</v>
      </c>
      <c r="D3">
        <v>50</v>
      </c>
      <c r="E3">
        <v>1.1000000000000001</v>
      </c>
      <c r="F3">
        <v>1</v>
      </c>
    </row>
    <row r="4" spans="1:6" x14ac:dyDescent="0.3">
      <c r="A4" t="s">
        <v>44</v>
      </c>
      <c r="B4">
        <v>25</v>
      </c>
      <c r="C4">
        <v>80</v>
      </c>
      <c r="D4">
        <v>70</v>
      </c>
      <c r="E4">
        <v>1.3</v>
      </c>
      <c r="F4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9"/>
  <sheetViews>
    <sheetView workbookViewId="0"/>
  </sheetViews>
  <sheetFormatPr baseColWidth="10" defaultColWidth="8.88671875" defaultRowHeight="14.4" x14ac:dyDescent="0.3"/>
  <cols>
    <col min="2" max="2" width="15.77734375" customWidth="1"/>
    <col min="3" max="3" width="18" customWidth="1"/>
    <col min="4" max="4" width="19.44140625" customWidth="1"/>
    <col min="5" max="5" width="14.5546875" customWidth="1"/>
  </cols>
  <sheetData>
    <row r="1" spans="1:5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4</v>
      </c>
      <c r="B2" t="s">
        <v>8</v>
      </c>
      <c r="C2">
        <v>25</v>
      </c>
      <c r="D2">
        <v>90</v>
      </c>
      <c r="E2">
        <v>0.88</v>
      </c>
    </row>
    <row r="3" spans="1:5" x14ac:dyDescent="0.3">
      <c r="A3" t="s">
        <v>4</v>
      </c>
      <c r="B3" t="s">
        <v>15</v>
      </c>
      <c r="C3">
        <v>35</v>
      </c>
      <c r="D3">
        <v>90</v>
      </c>
      <c r="E3">
        <v>0.85</v>
      </c>
    </row>
    <row r="4" spans="1:5" x14ac:dyDescent="0.3">
      <c r="A4" t="s">
        <v>4</v>
      </c>
      <c r="B4" t="s">
        <v>21</v>
      </c>
      <c r="C4">
        <v>4</v>
      </c>
      <c r="D4">
        <v>50</v>
      </c>
      <c r="E4">
        <v>0.78</v>
      </c>
    </row>
    <row r="5" spans="1:5" x14ac:dyDescent="0.3">
      <c r="A5" t="s">
        <v>4</v>
      </c>
      <c r="B5" t="s">
        <v>29</v>
      </c>
      <c r="C5">
        <v>50</v>
      </c>
      <c r="D5">
        <v>90</v>
      </c>
      <c r="E5">
        <v>0.89</v>
      </c>
    </row>
    <row r="6" spans="1:5" x14ac:dyDescent="0.3">
      <c r="A6" t="s">
        <v>4</v>
      </c>
      <c r="B6" t="s">
        <v>31</v>
      </c>
      <c r="C6">
        <v>20</v>
      </c>
      <c r="D6">
        <v>90</v>
      </c>
      <c r="E6">
        <v>0.97</v>
      </c>
    </row>
    <row r="7" spans="1:5" x14ac:dyDescent="0.3">
      <c r="A7" t="s">
        <v>6</v>
      </c>
      <c r="B7" t="s">
        <v>10</v>
      </c>
      <c r="C7">
        <v>51</v>
      </c>
      <c r="D7">
        <v>90</v>
      </c>
      <c r="E7">
        <v>0.79</v>
      </c>
    </row>
    <row r="8" spans="1:5" x14ac:dyDescent="0.3">
      <c r="A8" t="s">
        <v>6</v>
      </c>
      <c r="B8" t="s">
        <v>15</v>
      </c>
      <c r="C8">
        <v>45</v>
      </c>
      <c r="D8">
        <v>50</v>
      </c>
      <c r="E8">
        <v>0.99</v>
      </c>
    </row>
    <row r="9" spans="1:5" x14ac:dyDescent="0.3">
      <c r="A9" t="s">
        <v>6</v>
      </c>
      <c r="B9" t="s">
        <v>29</v>
      </c>
      <c r="C9">
        <v>35</v>
      </c>
      <c r="D9">
        <v>90</v>
      </c>
      <c r="E9">
        <v>0.8</v>
      </c>
    </row>
    <row r="10" spans="1:5" x14ac:dyDescent="0.3">
      <c r="A10" t="s">
        <v>8</v>
      </c>
      <c r="B10" t="s">
        <v>4</v>
      </c>
      <c r="C10">
        <v>25</v>
      </c>
      <c r="D10">
        <v>90</v>
      </c>
      <c r="E10">
        <v>0.88</v>
      </c>
    </row>
    <row r="11" spans="1:5" x14ac:dyDescent="0.3">
      <c r="A11" t="s">
        <v>8</v>
      </c>
      <c r="B11" t="s">
        <v>12</v>
      </c>
      <c r="C11">
        <v>26</v>
      </c>
      <c r="D11">
        <v>50</v>
      </c>
      <c r="E11">
        <v>0.99</v>
      </c>
    </row>
    <row r="12" spans="1:5" x14ac:dyDescent="0.3">
      <c r="A12" t="s">
        <v>8</v>
      </c>
      <c r="B12" t="s">
        <v>21</v>
      </c>
      <c r="C12">
        <v>20</v>
      </c>
      <c r="D12">
        <v>70</v>
      </c>
      <c r="E12">
        <v>0.98</v>
      </c>
    </row>
    <row r="13" spans="1:5" x14ac:dyDescent="0.3">
      <c r="A13" t="s">
        <v>8</v>
      </c>
      <c r="B13" t="s">
        <v>23</v>
      </c>
      <c r="C13">
        <v>50</v>
      </c>
      <c r="D13">
        <v>70</v>
      </c>
      <c r="E13">
        <v>0.28999999999999998</v>
      </c>
    </row>
    <row r="14" spans="1:5" x14ac:dyDescent="0.3">
      <c r="A14" t="s">
        <v>10</v>
      </c>
      <c r="B14" t="s">
        <v>6</v>
      </c>
      <c r="C14">
        <v>51</v>
      </c>
      <c r="D14">
        <v>90</v>
      </c>
      <c r="E14">
        <v>0.79</v>
      </c>
    </row>
    <row r="15" spans="1:5" x14ac:dyDescent="0.3">
      <c r="A15" t="s">
        <v>10</v>
      </c>
      <c r="B15" t="s">
        <v>15</v>
      </c>
      <c r="C15">
        <v>67</v>
      </c>
      <c r="D15">
        <v>90</v>
      </c>
      <c r="E15">
        <v>0.1</v>
      </c>
    </row>
    <row r="16" spans="1:5" x14ac:dyDescent="0.3">
      <c r="A16" t="s">
        <v>10</v>
      </c>
      <c r="B16" t="s">
        <v>17</v>
      </c>
      <c r="C16">
        <v>52</v>
      </c>
      <c r="D16">
        <v>90</v>
      </c>
      <c r="E16">
        <v>0.52</v>
      </c>
    </row>
    <row r="17" spans="1:5" x14ac:dyDescent="0.3">
      <c r="A17" t="s">
        <v>10</v>
      </c>
      <c r="B17" t="s">
        <v>31</v>
      </c>
      <c r="C17">
        <v>70</v>
      </c>
      <c r="D17">
        <v>90</v>
      </c>
      <c r="E17">
        <v>0.87</v>
      </c>
    </row>
    <row r="18" spans="1:5" x14ac:dyDescent="0.3">
      <c r="A18" t="s">
        <v>12</v>
      </c>
      <c r="B18" t="s">
        <v>8</v>
      </c>
      <c r="C18">
        <v>26</v>
      </c>
      <c r="D18">
        <v>50</v>
      </c>
      <c r="E18">
        <v>0.99</v>
      </c>
    </row>
    <row r="19" spans="1:5" x14ac:dyDescent="0.3">
      <c r="A19" t="s">
        <v>12</v>
      </c>
      <c r="B19" t="s">
        <v>23</v>
      </c>
      <c r="C19">
        <v>55</v>
      </c>
      <c r="D19">
        <v>70</v>
      </c>
      <c r="E19">
        <v>0.59</v>
      </c>
    </row>
    <row r="20" spans="1:5" x14ac:dyDescent="0.3">
      <c r="A20" t="s">
        <v>12</v>
      </c>
      <c r="B20" t="s">
        <v>25</v>
      </c>
      <c r="C20">
        <v>130</v>
      </c>
      <c r="D20">
        <v>90</v>
      </c>
      <c r="E20">
        <v>0.61</v>
      </c>
    </row>
    <row r="21" spans="1:5" x14ac:dyDescent="0.3">
      <c r="A21" t="s">
        <v>12</v>
      </c>
      <c r="B21" t="s">
        <v>21</v>
      </c>
      <c r="C21">
        <v>9</v>
      </c>
      <c r="D21">
        <v>50</v>
      </c>
      <c r="E21">
        <v>0.99</v>
      </c>
    </row>
    <row r="22" spans="1:5" x14ac:dyDescent="0.3">
      <c r="A22" t="s">
        <v>15</v>
      </c>
      <c r="B22" t="s">
        <v>4</v>
      </c>
      <c r="C22">
        <v>35</v>
      </c>
      <c r="D22">
        <v>90</v>
      </c>
      <c r="E22">
        <v>0.85</v>
      </c>
    </row>
    <row r="23" spans="1:5" x14ac:dyDescent="0.3">
      <c r="A23" t="s">
        <v>15</v>
      </c>
      <c r="B23" t="s">
        <v>6</v>
      </c>
      <c r="C23">
        <v>45</v>
      </c>
      <c r="D23">
        <v>50</v>
      </c>
      <c r="E23">
        <v>0.99</v>
      </c>
    </row>
    <row r="24" spans="1:5" x14ac:dyDescent="0.3">
      <c r="A24" t="s">
        <v>15</v>
      </c>
      <c r="B24" t="s">
        <v>10</v>
      </c>
      <c r="C24">
        <v>67</v>
      </c>
      <c r="D24">
        <v>90</v>
      </c>
      <c r="E24">
        <v>0.1</v>
      </c>
    </row>
    <row r="25" spans="1:5" x14ac:dyDescent="0.3">
      <c r="A25" t="s">
        <v>15</v>
      </c>
      <c r="B25" t="s">
        <v>29</v>
      </c>
      <c r="C25">
        <v>17</v>
      </c>
      <c r="D25">
        <v>50</v>
      </c>
      <c r="E25">
        <v>0.89</v>
      </c>
    </row>
    <row r="26" spans="1:5" x14ac:dyDescent="0.3">
      <c r="A26" t="s">
        <v>15</v>
      </c>
      <c r="B26" t="s">
        <v>31</v>
      </c>
      <c r="C26">
        <v>22</v>
      </c>
      <c r="D26">
        <v>70</v>
      </c>
      <c r="E26">
        <v>0.99</v>
      </c>
    </row>
    <row r="27" spans="1:5" x14ac:dyDescent="0.3">
      <c r="A27" t="s">
        <v>17</v>
      </c>
      <c r="B27" t="s">
        <v>10</v>
      </c>
      <c r="C27">
        <v>52</v>
      </c>
      <c r="D27">
        <v>90</v>
      </c>
      <c r="E27">
        <v>0.52</v>
      </c>
    </row>
    <row r="28" spans="1:5" x14ac:dyDescent="0.3">
      <c r="A28" t="s">
        <v>17</v>
      </c>
      <c r="B28" t="s">
        <v>19</v>
      </c>
      <c r="C28">
        <v>40</v>
      </c>
      <c r="D28">
        <v>90</v>
      </c>
      <c r="E28">
        <v>0.97</v>
      </c>
    </row>
    <row r="29" spans="1:5" x14ac:dyDescent="0.3">
      <c r="A29" t="s">
        <v>17</v>
      </c>
      <c r="B29" t="s">
        <v>27</v>
      </c>
      <c r="C29">
        <v>20</v>
      </c>
      <c r="D29">
        <v>50</v>
      </c>
      <c r="E29">
        <v>0.56000000000000005</v>
      </c>
    </row>
    <row r="30" spans="1:5" x14ac:dyDescent="0.3">
      <c r="A30" t="s">
        <v>17</v>
      </c>
      <c r="B30" t="s">
        <v>31</v>
      </c>
      <c r="C30">
        <v>50</v>
      </c>
      <c r="D30">
        <v>70</v>
      </c>
      <c r="E30">
        <v>0.24</v>
      </c>
    </row>
    <row r="31" spans="1:5" x14ac:dyDescent="0.3">
      <c r="A31" t="s">
        <v>19</v>
      </c>
      <c r="B31" t="s">
        <v>17</v>
      </c>
      <c r="C31">
        <v>40</v>
      </c>
      <c r="D31">
        <v>90</v>
      </c>
      <c r="E31">
        <v>0.97</v>
      </c>
    </row>
    <row r="32" spans="1:5" x14ac:dyDescent="0.3">
      <c r="A32" t="s">
        <v>19</v>
      </c>
      <c r="B32" t="s">
        <v>25</v>
      </c>
      <c r="C32">
        <v>150</v>
      </c>
      <c r="D32">
        <v>90</v>
      </c>
      <c r="E32">
        <v>0.79</v>
      </c>
    </row>
    <row r="33" spans="1:5" x14ac:dyDescent="0.3">
      <c r="A33" t="s">
        <v>19</v>
      </c>
      <c r="B33" t="s">
        <v>27</v>
      </c>
      <c r="C33">
        <v>20</v>
      </c>
      <c r="D33">
        <v>50</v>
      </c>
      <c r="E33">
        <v>0.89</v>
      </c>
    </row>
    <row r="34" spans="1:5" x14ac:dyDescent="0.3">
      <c r="A34" t="s">
        <v>19</v>
      </c>
      <c r="B34" t="s">
        <v>31</v>
      </c>
      <c r="C34">
        <v>50</v>
      </c>
      <c r="D34">
        <v>70</v>
      </c>
      <c r="E34">
        <v>0.21</v>
      </c>
    </row>
    <row r="35" spans="1:5" x14ac:dyDescent="0.3">
      <c r="A35" t="s">
        <v>21</v>
      </c>
      <c r="B35" t="s">
        <v>4</v>
      </c>
      <c r="C35">
        <v>4</v>
      </c>
      <c r="D35">
        <v>50</v>
      </c>
      <c r="E35">
        <v>0.78</v>
      </c>
    </row>
    <row r="36" spans="1:5" x14ac:dyDescent="0.3">
      <c r="A36" t="s">
        <v>21</v>
      </c>
      <c r="B36" t="s">
        <v>8</v>
      </c>
      <c r="C36">
        <v>20</v>
      </c>
      <c r="D36">
        <v>70</v>
      </c>
      <c r="E36">
        <v>0.98</v>
      </c>
    </row>
    <row r="37" spans="1:5" x14ac:dyDescent="0.3">
      <c r="A37" t="s">
        <v>21</v>
      </c>
      <c r="B37" t="s">
        <v>12</v>
      </c>
      <c r="C37">
        <v>9</v>
      </c>
      <c r="D37">
        <v>50</v>
      </c>
      <c r="E37">
        <v>0.99</v>
      </c>
    </row>
    <row r="38" spans="1:5" x14ac:dyDescent="0.3">
      <c r="A38" t="s">
        <v>21</v>
      </c>
      <c r="B38" t="s">
        <v>31</v>
      </c>
      <c r="C38">
        <v>19</v>
      </c>
      <c r="D38">
        <v>90</v>
      </c>
      <c r="E38">
        <v>0.79</v>
      </c>
    </row>
    <row r="39" spans="1:5" x14ac:dyDescent="0.3">
      <c r="A39" t="s">
        <v>23</v>
      </c>
      <c r="B39" t="s">
        <v>8</v>
      </c>
      <c r="C39">
        <v>50</v>
      </c>
      <c r="D39">
        <v>70</v>
      </c>
      <c r="E39">
        <v>0.28999999999999998</v>
      </c>
    </row>
    <row r="40" spans="1:5" x14ac:dyDescent="0.3">
      <c r="A40" t="s">
        <v>23</v>
      </c>
      <c r="B40" t="s">
        <v>12</v>
      </c>
      <c r="C40">
        <v>55</v>
      </c>
      <c r="D40">
        <v>70</v>
      </c>
      <c r="E40">
        <v>0.59</v>
      </c>
    </row>
    <row r="41" spans="1:5" x14ac:dyDescent="0.3">
      <c r="A41" t="s">
        <v>23</v>
      </c>
      <c r="B41" t="s">
        <v>25</v>
      </c>
      <c r="C41">
        <v>98</v>
      </c>
      <c r="D41">
        <v>90</v>
      </c>
      <c r="E41">
        <v>0.88</v>
      </c>
    </row>
    <row r="42" spans="1:5" x14ac:dyDescent="0.3">
      <c r="A42" t="s">
        <v>23</v>
      </c>
      <c r="B42" t="s">
        <v>31</v>
      </c>
      <c r="C42">
        <v>50</v>
      </c>
      <c r="D42">
        <v>70</v>
      </c>
      <c r="E42">
        <v>0.53</v>
      </c>
    </row>
    <row r="43" spans="1:5" x14ac:dyDescent="0.3">
      <c r="A43" t="s">
        <v>25</v>
      </c>
      <c r="B43" t="s">
        <v>12</v>
      </c>
      <c r="C43">
        <v>130</v>
      </c>
      <c r="D43">
        <v>90</v>
      </c>
      <c r="E43">
        <v>0.61</v>
      </c>
    </row>
    <row r="44" spans="1:5" x14ac:dyDescent="0.3">
      <c r="A44" t="s">
        <v>25</v>
      </c>
      <c r="B44" t="s">
        <v>19</v>
      </c>
      <c r="C44">
        <v>150</v>
      </c>
      <c r="D44">
        <v>90</v>
      </c>
      <c r="E44">
        <v>0.79</v>
      </c>
    </row>
    <row r="45" spans="1:5" x14ac:dyDescent="0.3">
      <c r="A45" t="s">
        <v>25</v>
      </c>
      <c r="B45" t="s">
        <v>23</v>
      </c>
      <c r="C45">
        <v>98</v>
      </c>
      <c r="D45">
        <v>90</v>
      </c>
      <c r="E45">
        <v>0.88</v>
      </c>
    </row>
    <row r="46" spans="1:5" x14ac:dyDescent="0.3">
      <c r="A46" t="s">
        <v>27</v>
      </c>
      <c r="B46" t="s">
        <v>17</v>
      </c>
      <c r="C46">
        <v>20</v>
      </c>
      <c r="D46">
        <v>50</v>
      </c>
      <c r="E46">
        <v>0.56000000000000005</v>
      </c>
    </row>
    <row r="47" spans="1:5" x14ac:dyDescent="0.3">
      <c r="A47" t="s">
        <v>27</v>
      </c>
      <c r="B47" t="s">
        <v>19</v>
      </c>
      <c r="C47">
        <v>20</v>
      </c>
      <c r="D47">
        <v>50</v>
      </c>
      <c r="E47">
        <v>0.9</v>
      </c>
    </row>
    <row r="48" spans="1:5" x14ac:dyDescent="0.3">
      <c r="A48" t="s">
        <v>27</v>
      </c>
      <c r="B48" t="s">
        <v>31</v>
      </c>
      <c r="C48">
        <v>30</v>
      </c>
      <c r="D48">
        <v>90</v>
      </c>
      <c r="E48">
        <v>0.2</v>
      </c>
    </row>
    <row r="49" spans="1:5" x14ac:dyDescent="0.3">
      <c r="A49" t="s">
        <v>29</v>
      </c>
      <c r="B49" t="s">
        <v>4</v>
      </c>
      <c r="C49">
        <v>50</v>
      </c>
      <c r="D49">
        <v>90</v>
      </c>
      <c r="E49">
        <v>0.89</v>
      </c>
    </row>
    <row r="50" spans="1:5" x14ac:dyDescent="0.3">
      <c r="A50" t="s">
        <v>29</v>
      </c>
      <c r="B50" t="s">
        <v>6</v>
      </c>
      <c r="C50">
        <v>35</v>
      </c>
      <c r="D50">
        <v>90</v>
      </c>
      <c r="E50">
        <v>0.8</v>
      </c>
    </row>
    <row r="51" spans="1:5" x14ac:dyDescent="0.3">
      <c r="A51" t="s">
        <v>29</v>
      </c>
      <c r="B51" t="s">
        <v>15</v>
      </c>
      <c r="C51">
        <v>17</v>
      </c>
      <c r="D51">
        <v>50</v>
      </c>
      <c r="E51">
        <v>0.89</v>
      </c>
    </row>
    <row r="52" spans="1:5" x14ac:dyDescent="0.3">
      <c r="A52" t="s">
        <v>31</v>
      </c>
      <c r="B52" t="s">
        <v>4</v>
      </c>
      <c r="C52">
        <v>20</v>
      </c>
      <c r="D52">
        <v>90</v>
      </c>
      <c r="E52">
        <v>0.97</v>
      </c>
    </row>
    <row r="53" spans="1:5" x14ac:dyDescent="0.3">
      <c r="A53" t="s">
        <v>31</v>
      </c>
      <c r="B53" t="s">
        <v>10</v>
      </c>
      <c r="C53">
        <v>70</v>
      </c>
      <c r="D53">
        <v>90</v>
      </c>
      <c r="E53">
        <v>0.87</v>
      </c>
    </row>
    <row r="54" spans="1:5" x14ac:dyDescent="0.3">
      <c r="A54" t="s">
        <v>31</v>
      </c>
      <c r="B54" t="s">
        <v>15</v>
      </c>
      <c r="C54">
        <v>22</v>
      </c>
      <c r="D54">
        <v>70</v>
      </c>
      <c r="E54">
        <v>0.99</v>
      </c>
    </row>
    <row r="55" spans="1:5" x14ac:dyDescent="0.3">
      <c r="A55" t="s">
        <v>31</v>
      </c>
      <c r="B55" t="s">
        <v>17</v>
      </c>
      <c r="C55">
        <v>50</v>
      </c>
      <c r="D55">
        <v>70</v>
      </c>
      <c r="E55">
        <v>0.24</v>
      </c>
    </row>
    <row r="56" spans="1:5" x14ac:dyDescent="0.3">
      <c r="A56" t="s">
        <v>31</v>
      </c>
      <c r="B56" t="s">
        <v>19</v>
      </c>
      <c r="C56">
        <v>50</v>
      </c>
      <c r="D56">
        <v>70</v>
      </c>
      <c r="E56">
        <v>0.21</v>
      </c>
    </row>
    <row r="57" spans="1:5" x14ac:dyDescent="0.3">
      <c r="A57" t="s">
        <v>31</v>
      </c>
      <c r="B57" t="s">
        <v>21</v>
      </c>
      <c r="C57">
        <v>19</v>
      </c>
      <c r="D57">
        <v>90</v>
      </c>
      <c r="E57">
        <v>0.79</v>
      </c>
    </row>
    <row r="58" spans="1:5" x14ac:dyDescent="0.3">
      <c r="A58" t="s">
        <v>31</v>
      </c>
      <c r="B58" t="s">
        <v>23</v>
      </c>
      <c r="C58">
        <v>50</v>
      </c>
      <c r="D58">
        <v>70</v>
      </c>
      <c r="E58">
        <v>0.53</v>
      </c>
    </row>
    <row r="59" spans="1:5" x14ac:dyDescent="0.3">
      <c r="A59" t="s">
        <v>31</v>
      </c>
      <c r="B59" t="s">
        <v>27</v>
      </c>
      <c r="C59">
        <v>30</v>
      </c>
      <c r="D59">
        <v>90</v>
      </c>
      <c r="E59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selection activeCell="D10" sqref="D10"/>
    </sheetView>
  </sheetViews>
  <sheetFormatPr baseColWidth="10" defaultColWidth="8.88671875" defaultRowHeight="14.4" x14ac:dyDescent="0.3"/>
  <cols>
    <col min="1" max="1" width="20.77734375" customWidth="1"/>
    <col min="2" max="2" width="20.21875" customWidth="1"/>
    <col min="3" max="3" width="23.5546875" customWidth="1"/>
  </cols>
  <sheetData>
    <row r="1" spans="1:3" x14ac:dyDescent="0.3">
      <c r="A1" s="1" t="s">
        <v>50</v>
      </c>
      <c r="B1" s="1" t="s">
        <v>51</v>
      </c>
      <c r="C1" s="1" t="s">
        <v>52</v>
      </c>
    </row>
    <row r="2" spans="1:3" x14ac:dyDescent="0.3">
      <c r="B2">
        <v>12</v>
      </c>
      <c r="C2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53</v>
      </c>
      <c r="B1" s="1" t="s">
        <v>54</v>
      </c>
      <c r="C1" s="1" t="s">
        <v>55</v>
      </c>
      <c r="D1" s="1" t="s">
        <v>56</v>
      </c>
    </row>
    <row r="2" spans="1:4" x14ac:dyDescent="0.3">
      <c r="A2" t="s">
        <v>57</v>
      </c>
      <c r="B2" t="s">
        <v>58</v>
      </c>
      <c r="C2" t="s">
        <v>59</v>
      </c>
      <c r="D2">
        <v>3040</v>
      </c>
    </row>
    <row r="3" spans="1:4" x14ac:dyDescent="0.3">
      <c r="A3" t="s">
        <v>60</v>
      </c>
      <c r="B3" t="s">
        <v>61</v>
      </c>
      <c r="C3" t="s">
        <v>59</v>
      </c>
      <c r="D3">
        <v>360</v>
      </c>
    </row>
    <row r="4" spans="1:4" x14ac:dyDescent="0.3">
      <c r="A4" t="s">
        <v>62</v>
      </c>
      <c r="B4" t="s">
        <v>63</v>
      </c>
      <c r="C4" t="s">
        <v>59</v>
      </c>
      <c r="D4">
        <v>2585</v>
      </c>
    </row>
    <row r="5" spans="1:4" x14ac:dyDescent="0.3">
      <c r="A5" t="s">
        <v>64</v>
      </c>
      <c r="B5" t="s">
        <v>65</v>
      </c>
      <c r="C5" t="s">
        <v>59</v>
      </c>
      <c r="D5">
        <v>440</v>
      </c>
    </row>
    <row r="6" spans="1:4" x14ac:dyDescent="0.3">
      <c r="A6" t="s">
        <v>66</v>
      </c>
      <c r="B6" t="s">
        <v>67</v>
      </c>
      <c r="C6" t="s">
        <v>59</v>
      </c>
    </row>
    <row r="7" spans="1:4" x14ac:dyDescent="0.3">
      <c r="A7" t="s">
        <v>68</v>
      </c>
      <c r="B7" t="s">
        <v>69</v>
      </c>
      <c r="C7" t="s">
        <v>59</v>
      </c>
    </row>
    <row r="8" spans="1:4" x14ac:dyDescent="0.3">
      <c r="A8" t="s">
        <v>70</v>
      </c>
      <c r="B8" t="s">
        <v>71</v>
      </c>
      <c r="C8" t="s">
        <v>59</v>
      </c>
      <c r="D8">
        <v>0</v>
      </c>
    </row>
    <row r="9" spans="1:4" x14ac:dyDescent="0.3">
      <c r="A9" t="s">
        <v>72</v>
      </c>
      <c r="B9" t="s">
        <v>73</v>
      </c>
      <c r="C9" t="s">
        <v>59</v>
      </c>
      <c r="D9">
        <v>0</v>
      </c>
    </row>
    <row r="10" spans="1:4" x14ac:dyDescent="0.3">
      <c r="A10" t="s">
        <v>74</v>
      </c>
      <c r="B10" t="s">
        <v>75</v>
      </c>
      <c r="C10" t="s">
        <v>59</v>
      </c>
      <c r="D10">
        <v>0</v>
      </c>
    </row>
    <row r="11" spans="1:4" x14ac:dyDescent="0.3">
      <c r="A11" t="s">
        <v>76</v>
      </c>
      <c r="B11" t="s">
        <v>77</v>
      </c>
      <c r="C11" t="s">
        <v>59</v>
      </c>
    </row>
    <row r="12" spans="1:4" x14ac:dyDescent="0.3">
      <c r="A12" t="s">
        <v>78</v>
      </c>
      <c r="B12" t="s">
        <v>79</v>
      </c>
      <c r="C12" t="s">
        <v>59</v>
      </c>
      <c r="D12" t="s">
        <v>80</v>
      </c>
    </row>
    <row r="13" spans="1:4" x14ac:dyDescent="0.3">
      <c r="A13" t="s">
        <v>81</v>
      </c>
      <c r="B13" t="s">
        <v>82</v>
      </c>
      <c r="C13" t="s">
        <v>59</v>
      </c>
      <c r="D13" t="s">
        <v>83</v>
      </c>
    </row>
    <row r="14" spans="1:4" x14ac:dyDescent="0.3">
      <c r="A14" t="s">
        <v>84</v>
      </c>
      <c r="B14" t="s">
        <v>85</v>
      </c>
      <c r="C14" t="s">
        <v>86</v>
      </c>
    </row>
    <row r="15" spans="1:4" x14ac:dyDescent="0.3">
      <c r="A15" t="s">
        <v>87</v>
      </c>
      <c r="B15" t="s">
        <v>88</v>
      </c>
      <c r="C15" t="s">
        <v>59</v>
      </c>
      <c r="D15">
        <v>12</v>
      </c>
    </row>
    <row r="16" spans="1:4" x14ac:dyDescent="0.3">
      <c r="A16" t="s">
        <v>89</v>
      </c>
      <c r="B16" t="s">
        <v>90</v>
      </c>
      <c r="C16" t="s">
        <v>59</v>
      </c>
      <c r="D1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Nodos</vt:lpstr>
      <vt:lpstr>Demanda</vt:lpstr>
      <vt:lpstr>Suministro</vt:lpstr>
      <vt:lpstr>DisponibilidadVeh</vt:lpstr>
      <vt:lpstr>Vehiculos</vt:lpstr>
      <vt:lpstr>Arcos</vt:lpstr>
      <vt:lpstr>Global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blanca galan ochoa</cp:lastModifiedBy>
  <dcterms:created xsi:type="dcterms:W3CDTF">2026-03-12T17:47:50Z</dcterms:created>
  <dcterms:modified xsi:type="dcterms:W3CDTF">2026-06-11T15:29:38Z</dcterms:modified>
</cp:coreProperties>
</file>